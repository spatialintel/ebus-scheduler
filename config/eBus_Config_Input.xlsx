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eeppra33/Library/CloudStorage/GoogleDrive-deepprakashgupta333@gmail.com/Other computers/My Laptop/Desktop/Mirror/CRDF/Scheduling/Python/bus_scheduler/config/"/>
    </mc:Choice>
  </mc:AlternateContent>
  <xr:revisionPtr revIDLastSave="0" documentId="11_4EB1F73849B3673561D4C651B81D0D8EFEDFB548" xr6:coauthVersionLast="47" xr6:coauthVersionMax="47" xr10:uidLastSave="{00000000-0000-0000-0000-000000000000}"/>
  <bookViews>
    <workbookView xWindow="0" yWindow="680" windowWidth="30240" windowHeight="18960" tabRatio="500" activeTab="1" xr2:uid="{00000000-000D-0000-FFFF-FFFF00000000}"/>
  </bookViews>
  <sheets>
    <sheet name="Instructions" sheetId="1" r:id="rId1"/>
    <sheet name="Route_Config" sheetId="2" r:id="rId2"/>
    <sheet name="Headway_Profile" sheetId="3" r:id="rId3"/>
    <sheet name="TravelTime_Profil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4" l="1"/>
  <c r="C3" i="3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C29" i="2"/>
  <c r="C26" i="2"/>
</calcChain>
</file>

<file path=xl/sharedStrings.xml><?xml version="1.0" encoding="utf-8"?>
<sst xmlns="http://schemas.openxmlformats.org/spreadsheetml/2006/main" count="248" uniqueCount="135">
  <si>
    <t>eBus Schedule — Input Workbook</t>
  </si>
  <si>
    <t>Purpose</t>
  </si>
  <si>
    <t>This workbook captures all inputs needed by the Python scheduling engine. Fill in the yellow cells (blue text). Gray cells are auto-calculated — do not edit them.</t>
  </si>
  <si>
    <t>One route per workbook</t>
  </si>
  <si>
    <t>Each workbook holds one route. Save a copy of this file for each additional route.</t>
  </si>
  <si>
    <t>Sheet: Route_Config</t>
  </si>
  <si>
    <t>Route parameters — locations (with lat/lon), fleet, battery, charging, operating hours, and the full segment distance/time matrix. The Python config_loader reads this sheet.</t>
  </si>
  <si>
    <t>Sheet: Headway_Profile</t>
  </si>
  <si>
    <t>Service frequency (headway in minutes) for each 30-min time slot.</t>
  </si>
  <si>
    <t>Sheet: TravelTime_Profile</t>
  </si>
  <si>
    <t>One-way travel time by direction (UP / DN) for each time slot. Leave unchanged if travel time is constant throughout the day.</t>
  </si>
  <si>
    <t>Segment Distance Table</t>
  </si>
  <si>
    <t>Uses generic labels: Depot, Start point, End point, Intermediate point 1, Intermediate point 2. The "Resolved From" and "Resolved To" columns auto-fill actual location names from the Locations section. Enter distance (km) and travel time (min) manually. Set distance and time to 0 for pairs that do not apply (e.g. if there is no Intermediate point, leave those rows as 0).</t>
  </si>
  <si>
    <t>WEBSERVICE / Auto-Fetch (Optional)</t>
  </si>
  <si>
    <t>If you fill in Latitude and Longitude for each location in the Locations section, the Python scheduler can auto-fetch distances from OSRM (free, no API key) on first run. Otherwise, enter distances and travel times manually in the segment table.</t>
  </si>
  <si>
    <t>Dead Run Time</t>
  </si>
  <si>
    <t>Non-revenue travel between depot and route endpoints. Example: a bus leaves the depot empty at 05:35 to reach the first stop by 06:00. That 25-minute trip is the dead run.</t>
  </si>
  <si>
    <t>Trigger SOC vs Min SOC</t>
  </si>
  <si>
    <t>Trigger SOC: when a bus drops below this, the scheduler looks for a charging opportunity. Min SOC: hard floor — the scheduler will never assign a trip that would push SOC below this.</t>
  </si>
  <si>
    <t>ROUTE CONFIGURATION</t>
  </si>
  <si>
    <t>Route Identity</t>
  </si>
  <si>
    <t>route_code</t>
  </si>
  <si>
    <t>R1</t>
  </si>
  <si>
    <t>route_name</t>
  </si>
  <si>
    <t>Gangajalia Bus Stand to D Mart, Top 3</t>
  </si>
  <si>
    <t>Locations</t>
  </si>
  <si>
    <t>Enter each location name. Lat/Lon are needed only if you want auto-distance via WEBSERVICE.</t>
  </si>
  <si>
    <t>Location Label</t>
  </si>
  <si>
    <t>Location Name</t>
  </si>
  <si>
    <t>Latitude</t>
  </si>
  <si>
    <t>Longitude</t>
  </si>
  <si>
    <t>Depot</t>
  </si>
  <si>
    <t>DEPOT</t>
  </si>
  <si>
    <t>Start point</t>
  </si>
  <si>
    <t>GANGAJALIA BUS STAND</t>
  </si>
  <si>
    <t>End point</t>
  </si>
  <si>
    <t>D MART, TOP 3</t>
  </si>
  <si>
    <t>Intermediate point 1</t>
  </si>
  <si>
    <t>DMART</t>
  </si>
  <si>
    <t>Intermediate point 2</t>
  </si>
  <si>
    <t>Fleet</t>
  </si>
  <si>
    <t>fleet_size</t>
  </si>
  <si>
    <t>battery_kwh</t>
  </si>
  <si>
    <t>consumption_rate (kWh/km)</t>
  </si>
  <si>
    <t>initial_soc_percent</t>
  </si>
  <si>
    <t>Charging</t>
  </si>
  <si>
    <t>depot_charger_kw</t>
  </si>
  <si>
    <t>depot_charger_efficiency</t>
  </si>
  <si>
    <t>0.0 to 1.0</t>
  </si>
  <si>
    <t>depot_flow_rate_kw</t>
  </si>
  <si>
    <t>Auto: capacity x efficiency</t>
  </si>
  <si>
    <t>terminal_charger_kw</t>
  </si>
  <si>
    <t>0 if none</t>
  </si>
  <si>
    <t>terminal_charger_efficiency</t>
  </si>
  <si>
    <t>terminal_flow_rate_kw</t>
  </si>
  <si>
    <t>trigger_soc_percent</t>
  </si>
  <si>
    <t>Start looking for charging opportunity</t>
  </si>
  <si>
    <t>target_soc_percent</t>
  </si>
  <si>
    <t>Charge up to this level</t>
  </si>
  <si>
    <t>min_soc_percent</t>
  </si>
  <si>
    <t>Hard floor — never go below</t>
  </si>
  <si>
    <t>min_charge_duration_min</t>
  </si>
  <si>
    <t>Skip charging if slot &lt; this</t>
  </si>
  <si>
    <t>Operating Hours</t>
  </si>
  <si>
    <t>operating_start</t>
  </si>
  <si>
    <t>06:00</t>
  </si>
  <si>
    <t>HH:MM</t>
  </si>
  <si>
    <t>operating_end</t>
  </si>
  <si>
    <t>23:00</t>
  </si>
  <si>
    <t>shift_split</t>
  </si>
  <si>
    <t>13:00</t>
  </si>
  <si>
    <t>HH:MM — shift changeover</t>
  </si>
  <si>
    <t>Layover and Dead Run</t>
  </si>
  <si>
    <t>min_layover_min</t>
  </si>
  <si>
    <t>Minimum turnaround at terminal</t>
  </si>
  <si>
    <t>preferred_layover_min</t>
  </si>
  <si>
    <t>dead_run_buffer_min</t>
  </si>
  <si>
    <t>Non-revenue depot-to-first-stop travel time</t>
  </si>
  <si>
    <t>Optimizer Constraints</t>
  </si>
  <si>
    <t>max_headway_deviation_min</t>
  </si>
  <si>
    <t>Max +/- from planned headway</t>
  </si>
  <si>
    <t>km_balance_tolerance_pct</t>
  </si>
  <si>
    <t>Max bus km imbalance (%)</t>
  </si>
  <si>
    <t>Segment Distances and Travel Times</t>
  </si>
  <si>
    <t>Generic labels below resolve to actual location names from the Locations section above. Enter Distance and Travel Time manually. Set to 0 for unused pairs (e.g. no intermediate point).</t>
  </si>
  <si>
    <t>Sr.</t>
  </si>
  <si>
    <t>From</t>
  </si>
  <si>
    <t>To</t>
  </si>
  <si>
    <t>Distance (km)</t>
  </si>
  <si>
    <t>Travel Time (min)</t>
  </si>
  <si>
    <t>Resolved From</t>
  </si>
  <si>
    <t>Resolved To</t>
  </si>
  <si>
    <t>If lat/lon are filled in the Locations section above, the Python scheduler can auto-fetch distances from OSRM on first run and fill them here.</t>
  </si>
  <si>
    <t>HEADWAY PROFILE</t>
  </si>
  <si>
    <t>Route:</t>
  </si>
  <si>
    <t>Headway = minutes between consecutive departures in the same direction.</t>
  </si>
  <si>
    <t>Time From</t>
  </si>
  <si>
    <t>Time To</t>
  </si>
  <si>
    <t>Headway (min)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</si>
  <si>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</si>
  <si>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</si>
  <si>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</si>
  <si>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</si>
  <si>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</si>
  <si>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</si>
  <si>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</si>
  <si>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</si>
  <si>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</si>
  <si>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</si>
  <si>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</si>
  <si>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</si>
  <si>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</si>
  <si>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</si>
  <si>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</si>
  <si>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</si>
  <si>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</si>
  <si>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</si>
  <si>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</si>
  <si>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</si>
  <si>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</si>
  <si>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</si>
  <si>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</si>
  <si>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</si>
  <si>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</si>
  <si>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</si>
  <si>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</si>
  <si>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</si>
  <si>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</si>
  <si>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</si>
  <si>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</si>
  <si>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</si>
  <si>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TRAVEL TIME PROFILE</t>
  </si>
  <si>
    <t>One-way travel time by direction. UP = start to end, DN = end to start.</t>
  </si>
  <si>
    <t>UP Travel (min)</t>
  </si>
  <si>
    <t>DN Travel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</si>
</sst>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2F4F4F"/>
      <name val="Arial"/>
      <charset val="1"/>
    </font>
    <font>
      <b/>
      <sz val="10"/>
      <color rgb="FF2F4F4F"/>
      <name val="Arial"/>
      <charset val="1"/>
    </font>
    <font>
      <sz val="9"/>
      <color rgb="FF333333"/>
      <name val="Arial"/>
      <charset val="1"/>
    </font>
    <font>
      <sz val="9"/>
      <color rgb="FF0000CC"/>
      <name val="Arial"/>
      <charset val="1"/>
    </font>
    <font>
      <i/>
      <sz val="8"/>
      <color rgb="FF888888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E8"/>
        <bgColor rgb="FFEAEAEA"/>
      </patternFill>
    </fill>
    <fill>
      <patternFill patternType="solid">
        <fgColor rgb="FFFFF9E6"/>
        <bgColor rgb="FFFFFFFF"/>
      </patternFill>
    </fill>
    <fill>
      <patternFill patternType="solid">
        <fgColor rgb="FF4F6D7A"/>
        <bgColor rgb="FF708090"/>
      </patternFill>
    </fill>
    <fill>
      <patternFill patternType="solid">
        <fgColor rgb="FFEAEAEA"/>
        <bgColor rgb="FFD9E1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2" fontId="4" fillId="3" borderId="1" xfId="0" applyNumberFormat="1" applyFont="1" applyFill="1" applyBorder="1" applyAlignment="1">
      <alignment vertical="center" wrapText="1"/>
    </xf>
    <xf numFmtId="1" fontId="4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E6"/>
      <rgbColor rgb="FFEAEAEA"/>
      <rgbColor rgb="FF660066"/>
      <rgbColor rgb="FFFF8080"/>
      <rgbColor rgb="FF0066CC"/>
      <rgbColor rgb="FFD9E1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6D7A"/>
      <rgbColor rgb="FFA9A9A9"/>
      <rgbColor rgb="FF003366"/>
      <rgbColor rgb="FF708090"/>
      <rgbColor rgb="FF003300"/>
      <rgbColor rgb="FF333300"/>
      <rgbColor rgb="FF993300"/>
      <rgbColor rgb="FF993366"/>
      <rgbColor rgb="FF2F4F4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9A9A9"/>
  </sheetPr>
  <dimension ref="B2:B2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90" customWidth="1"/>
  </cols>
  <sheetData>
    <row r="2" spans="2:2" ht="18" x14ac:dyDescent="0.2">
      <c r="B2" s="2" t="s">
        <v>0</v>
      </c>
    </row>
    <row r="4" spans="2:2" x14ac:dyDescent="0.2">
      <c r="B4" s="3" t="s">
        <v>1</v>
      </c>
    </row>
    <row r="5" spans="2:2" ht="26" x14ac:dyDescent="0.2">
      <c r="B5" s="4" t="s">
        <v>2</v>
      </c>
    </row>
    <row r="7" spans="2:2" x14ac:dyDescent="0.2">
      <c r="B7" s="3" t="s">
        <v>3</v>
      </c>
    </row>
    <row r="8" spans="2:2" x14ac:dyDescent="0.2">
      <c r="B8" s="4" t="s">
        <v>4</v>
      </c>
    </row>
    <row r="10" spans="2:2" x14ac:dyDescent="0.2">
      <c r="B10" s="3" t="s">
        <v>5</v>
      </c>
    </row>
    <row r="11" spans="2:2" ht="26" x14ac:dyDescent="0.2">
      <c r="B11" s="4" t="s">
        <v>6</v>
      </c>
    </row>
    <row r="13" spans="2:2" x14ac:dyDescent="0.2">
      <c r="B13" s="3" t="s">
        <v>7</v>
      </c>
    </row>
    <row r="14" spans="2:2" x14ac:dyDescent="0.2">
      <c r="B14" s="4" t="s">
        <v>8</v>
      </c>
    </row>
    <row r="16" spans="2:2" x14ac:dyDescent="0.2">
      <c r="B16" s="3" t="s">
        <v>9</v>
      </c>
    </row>
    <row r="17" spans="2:2" x14ac:dyDescent="0.2">
      <c r="B17" s="4" t="s">
        <v>10</v>
      </c>
    </row>
    <row r="19" spans="2:2" x14ac:dyDescent="0.2">
      <c r="B19" s="3" t="s">
        <v>11</v>
      </c>
    </row>
    <row r="20" spans="2:2" ht="39" x14ac:dyDescent="0.2">
      <c r="B20" s="4" t="s">
        <v>12</v>
      </c>
    </row>
    <row r="22" spans="2:2" x14ac:dyDescent="0.2">
      <c r="B22" s="3" t="s">
        <v>13</v>
      </c>
    </row>
    <row r="23" spans="2:2" ht="26" x14ac:dyDescent="0.2">
      <c r="B23" s="4" t="s">
        <v>14</v>
      </c>
    </row>
    <row r="25" spans="2:2" x14ac:dyDescent="0.2">
      <c r="B25" s="3" t="s">
        <v>15</v>
      </c>
    </row>
    <row r="26" spans="2:2" ht="26" x14ac:dyDescent="0.2">
      <c r="B26" s="4" t="s">
        <v>16</v>
      </c>
    </row>
    <row r="28" spans="2:2" x14ac:dyDescent="0.2">
      <c r="B28" s="3" t="s">
        <v>17</v>
      </c>
    </row>
    <row r="29" spans="2:2" ht="26" x14ac:dyDescent="0.2">
      <c r="B29" s="4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4F4F"/>
  </sheetPr>
  <dimension ref="B2:H71"/>
  <sheetViews>
    <sheetView showGridLines="0" tabSelected="1" topLeftCell="A40" zoomScale="130" zoomScaleNormal="100" workbookViewId="0">
      <selection activeCell="D63" sqref="D63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3" width="30" customWidth="1"/>
    <col min="4" max="4" width="42" customWidth="1"/>
    <col min="5" max="6" width="14" customWidth="1"/>
    <col min="7" max="8" width="30" customWidth="1"/>
    <col min="9" max="9" width="18" customWidth="1"/>
  </cols>
  <sheetData>
    <row r="2" spans="2:5" ht="18" x14ac:dyDescent="0.2">
      <c r="B2" s="2" t="s">
        <v>19</v>
      </c>
    </row>
    <row r="4" spans="2:5" x14ac:dyDescent="0.2">
      <c r="B4" s="1" t="s">
        <v>20</v>
      </c>
      <c r="C4" s="1"/>
      <c r="D4" s="1"/>
    </row>
    <row r="5" spans="2:5" x14ac:dyDescent="0.2">
      <c r="B5" s="4" t="s">
        <v>21</v>
      </c>
      <c r="C5" s="5" t="s">
        <v>22</v>
      </c>
    </row>
    <row r="6" spans="2:5" x14ac:dyDescent="0.2">
      <c r="B6" s="4" t="s">
        <v>23</v>
      </c>
      <c r="C6" s="5" t="s">
        <v>24</v>
      </c>
    </row>
    <row r="8" spans="2:5" x14ac:dyDescent="0.2">
      <c r="B8" s="1" t="s">
        <v>25</v>
      </c>
      <c r="C8" s="1"/>
      <c r="D8" s="1"/>
    </row>
    <row r="9" spans="2:5" ht="24" x14ac:dyDescent="0.2">
      <c r="B9" s="6" t="s">
        <v>26</v>
      </c>
    </row>
    <row r="10" spans="2:5" x14ac:dyDescent="0.2">
      <c r="B10" s="7" t="s">
        <v>27</v>
      </c>
      <c r="C10" s="7" t="s">
        <v>28</v>
      </c>
      <c r="D10" s="7" t="s">
        <v>29</v>
      </c>
      <c r="E10" s="7" t="s">
        <v>30</v>
      </c>
    </row>
    <row r="11" spans="2:5" x14ac:dyDescent="0.2">
      <c r="B11" s="4" t="s">
        <v>31</v>
      </c>
      <c r="C11" s="5" t="s">
        <v>32</v>
      </c>
      <c r="D11" s="5"/>
      <c r="E11" s="5"/>
    </row>
    <row r="12" spans="2:5" x14ac:dyDescent="0.2">
      <c r="B12" s="4" t="s">
        <v>33</v>
      </c>
      <c r="C12" s="5" t="s">
        <v>34</v>
      </c>
      <c r="D12" s="5"/>
      <c r="E12" s="5"/>
    </row>
    <row r="13" spans="2:5" x14ac:dyDescent="0.2">
      <c r="B13" s="4" t="s">
        <v>35</v>
      </c>
      <c r="C13" s="5" t="s">
        <v>36</v>
      </c>
      <c r="D13" s="5"/>
      <c r="E13" s="5"/>
    </row>
    <row r="14" spans="2:5" x14ac:dyDescent="0.2">
      <c r="B14" s="4" t="s">
        <v>37</v>
      </c>
      <c r="C14" s="5" t="s">
        <v>38</v>
      </c>
      <c r="D14" s="5"/>
      <c r="E14" s="5"/>
    </row>
    <row r="15" spans="2:5" x14ac:dyDescent="0.2">
      <c r="B15" s="4" t="s">
        <v>39</v>
      </c>
      <c r="C15" s="5" t="s">
        <v>38</v>
      </c>
      <c r="D15" s="5"/>
      <c r="E15" s="5"/>
    </row>
    <row r="17" spans="2:4" x14ac:dyDescent="0.2">
      <c r="B17" s="1" t="s">
        <v>40</v>
      </c>
      <c r="C17" s="1"/>
      <c r="D17" s="1"/>
    </row>
    <row r="18" spans="2:4" x14ac:dyDescent="0.2">
      <c r="B18" s="4" t="s">
        <v>41</v>
      </c>
      <c r="C18" s="5">
        <v>5</v>
      </c>
    </row>
    <row r="19" spans="2:4" x14ac:dyDescent="0.2">
      <c r="B19" s="4" t="s">
        <v>42</v>
      </c>
      <c r="C19" s="5">
        <v>210</v>
      </c>
    </row>
    <row r="20" spans="2:4" x14ac:dyDescent="0.2">
      <c r="B20" s="4" t="s">
        <v>43</v>
      </c>
      <c r="C20" s="5">
        <v>1.1000000000000001</v>
      </c>
    </row>
    <row r="21" spans="2:4" x14ac:dyDescent="0.2">
      <c r="B21" s="4" t="s">
        <v>44</v>
      </c>
      <c r="C21" s="5">
        <v>95</v>
      </c>
    </row>
    <row r="23" spans="2:4" x14ac:dyDescent="0.2">
      <c r="B23" s="1" t="s">
        <v>45</v>
      </c>
      <c r="C23" s="1"/>
      <c r="D23" s="1"/>
    </row>
    <row r="24" spans="2:4" x14ac:dyDescent="0.2">
      <c r="B24" s="4" t="s">
        <v>46</v>
      </c>
      <c r="C24" s="5">
        <v>240</v>
      </c>
    </row>
    <row r="25" spans="2:4" x14ac:dyDescent="0.2">
      <c r="B25" s="4" t="s">
        <v>47</v>
      </c>
      <c r="C25" s="5">
        <v>0.8</v>
      </c>
      <c r="D25" s="6" t="s">
        <v>48</v>
      </c>
    </row>
    <row r="26" spans="2:4" x14ac:dyDescent="0.2">
      <c r="B26" s="4" t="s">
        <v>49</v>
      </c>
      <c r="C26" s="8">
        <f>C24*C25</f>
        <v>192</v>
      </c>
      <c r="D26" s="6" t="s">
        <v>50</v>
      </c>
    </row>
    <row r="27" spans="2:4" x14ac:dyDescent="0.2">
      <c r="B27" s="4" t="s">
        <v>51</v>
      </c>
      <c r="C27" s="5">
        <v>0</v>
      </c>
      <c r="D27" s="6" t="s">
        <v>52</v>
      </c>
    </row>
    <row r="28" spans="2:4" x14ac:dyDescent="0.2">
      <c r="B28" s="4" t="s">
        <v>53</v>
      </c>
      <c r="C28" s="5">
        <v>0</v>
      </c>
      <c r="D28" s="6" t="s">
        <v>48</v>
      </c>
    </row>
    <row r="29" spans="2:4" x14ac:dyDescent="0.2">
      <c r="B29" s="4" t="s">
        <v>54</v>
      </c>
      <c r="C29" s="8">
        <f>C27*C28</f>
        <v>0</v>
      </c>
      <c r="D29" s="6" t="s">
        <v>50</v>
      </c>
    </row>
    <row r="30" spans="2:4" x14ac:dyDescent="0.2">
      <c r="B30" s="4" t="s">
        <v>55</v>
      </c>
      <c r="C30" s="5">
        <v>30</v>
      </c>
      <c r="D30" s="6" t="s">
        <v>56</v>
      </c>
    </row>
    <row r="31" spans="2:4" x14ac:dyDescent="0.2">
      <c r="B31" s="4" t="s">
        <v>57</v>
      </c>
      <c r="C31" s="5">
        <v>80</v>
      </c>
      <c r="D31" s="6" t="s">
        <v>58</v>
      </c>
    </row>
    <row r="32" spans="2:4" x14ac:dyDescent="0.2">
      <c r="B32" s="4" t="s">
        <v>59</v>
      </c>
      <c r="C32" s="5">
        <v>20</v>
      </c>
      <c r="D32" s="6" t="s">
        <v>60</v>
      </c>
    </row>
    <row r="33" spans="2:4" x14ac:dyDescent="0.2">
      <c r="B33" s="4" t="s">
        <v>61</v>
      </c>
      <c r="C33" s="5">
        <v>15</v>
      </c>
      <c r="D33" s="6" t="s">
        <v>62</v>
      </c>
    </row>
    <row r="35" spans="2:4" x14ac:dyDescent="0.2">
      <c r="B35" s="1" t="s">
        <v>63</v>
      </c>
      <c r="C35" s="1"/>
      <c r="D35" s="1"/>
    </row>
    <row r="36" spans="2:4" x14ac:dyDescent="0.2">
      <c r="B36" s="4" t="s">
        <v>64</v>
      </c>
      <c r="C36" s="5" t="s">
        <v>65</v>
      </c>
      <c r="D36" s="6" t="s">
        <v>66</v>
      </c>
    </row>
    <row r="37" spans="2:4" x14ac:dyDescent="0.2">
      <c r="B37" s="4" t="s">
        <v>67</v>
      </c>
      <c r="C37" s="5" t="s">
        <v>68</v>
      </c>
      <c r="D37" s="6" t="s">
        <v>66</v>
      </c>
    </row>
    <row r="38" spans="2:4" x14ac:dyDescent="0.2">
      <c r="B38" s="4" t="s">
        <v>69</v>
      </c>
      <c r="C38" s="5" t="s">
        <v>70</v>
      </c>
      <c r="D38" s="6" t="s">
        <v>71</v>
      </c>
    </row>
    <row r="40" spans="2:4" x14ac:dyDescent="0.2">
      <c r="B40" s="1" t="s">
        <v>72</v>
      </c>
      <c r="C40" s="1"/>
      <c r="D40" s="1"/>
    </row>
    <row r="41" spans="2:4" x14ac:dyDescent="0.2">
      <c r="B41" s="4" t="s">
        <v>73</v>
      </c>
      <c r="C41" s="5">
        <v>5</v>
      </c>
      <c r="D41" s="6" t="s">
        <v>74</v>
      </c>
    </row>
    <row r="42" spans="2:4" x14ac:dyDescent="0.2">
      <c r="B42" s="4" t="s">
        <v>75</v>
      </c>
      <c r="C42" s="5">
        <v>10</v>
      </c>
    </row>
    <row r="43" spans="2:4" x14ac:dyDescent="0.2">
      <c r="B43" s="4" t="s">
        <v>76</v>
      </c>
      <c r="C43" s="5">
        <v>25</v>
      </c>
      <c r="D43" s="6" t="s">
        <v>77</v>
      </c>
    </row>
    <row r="45" spans="2:4" x14ac:dyDescent="0.2">
      <c r="B45" s="1" t="s">
        <v>78</v>
      </c>
      <c r="C45" s="1"/>
      <c r="D45" s="1"/>
    </row>
    <row r="46" spans="2:4" x14ac:dyDescent="0.2">
      <c r="B46" s="4" t="s">
        <v>79</v>
      </c>
      <c r="C46" s="5">
        <v>5</v>
      </c>
      <c r="D46" s="6" t="s">
        <v>80</v>
      </c>
    </row>
    <row r="47" spans="2:4" x14ac:dyDescent="0.2">
      <c r="B47" s="4" t="s">
        <v>81</v>
      </c>
      <c r="C47" s="5">
        <v>10</v>
      </c>
      <c r="D47" s="6" t="s">
        <v>82</v>
      </c>
    </row>
    <row r="49" spans="2:8" x14ac:dyDescent="0.2">
      <c r="B49" s="1" t="s">
        <v>83</v>
      </c>
      <c r="C49" s="1"/>
      <c r="D49" s="1"/>
      <c r="E49" s="1"/>
      <c r="F49" s="1"/>
      <c r="G49" s="1"/>
      <c r="H49" s="1"/>
    </row>
    <row r="50" spans="2:8" ht="36" x14ac:dyDescent="0.2">
      <c r="B50" s="6" t="s">
        <v>84</v>
      </c>
    </row>
    <row r="51" spans="2:8" x14ac:dyDescent="0.2">
      <c r="B51" s="7" t="s">
        <v>85</v>
      </c>
      <c r="C51" s="7" t="s">
        <v>86</v>
      </c>
      <c r="D51" s="7" t="s">
        <v>87</v>
      </c>
      <c r="E51" s="7" t="s">
        <v>88</v>
      </c>
      <c r="F51" s="7" t="s">
        <v>89</v>
      </c>
      <c r="G51" s="7" t="s">
        <v>90</v>
      </c>
      <c r="H51" s="7" t="s">
        <v>91</v>
      </c>
    </row>
    <row r="52" spans="2:8" x14ac:dyDescent="0.2">
      <c r="B52" s="9">
        <v>1</v>
      </c>
      <c r="C52" s="4" t="s">
        <v>31</v>
      </c>
      <c r="D52" s="4" t="s">
        <v>33</v>
      </c>
      <c r="E52" s="10">
        <v>7.25</v>
      </c>
      <c r="F52" s="11">
        <v>25</v>
      </c>
      <c r="G52" s="8" t="str">
        <f t="shared" ref="G52:G69" si="0">IFERROR(INDEX($C$11:$C$15,MATCH(C52,$B$11:$B$15,0)),"")</f>
        <v>DEPOT</v>
      </c>
      <c r="H52" s="8" t="str">
        <f t="shared" ref="H52:H69" si="1">IFERROR(INDEX($C$11:$C$15,MATCH(D52,$B$11:$B$15,0)),"")</f>
        <v>GANGAJALIA BUS STAND</v>
      </c>
    </row>
    <row r="53" spans="2:8" x14ac:dyDescent="0.2">
      <c r="B53" s="9">
        <v>2</v>
      </c>
      <c r="C53" s="4" t="s">
        <v>33</v>
      </c>
      <c r="D53" s="4" t="s">
        <v>31</v>
      </c>
      <c r="E53" s="10">
        <v>7.25</v>
      </c>
      <c r="F53" s="11">
        <v>25</v>
      </c>
      <c r="G53" s="8" t="str">
        <f t="shared" si="0"/>
        <v>GANGAJALIA BUS STAND</v>
      </c>
      <c r="H53" s="8" t="str">
        <f t="shared" si="1"/>
        <v>DEPOT</v>
      </c>
    </row>
    <row r="54" spans="2:8" x14ac:dyDescent="0.2">
      <c r="B54" s="9">
        <v>3</v>
      </c>
      <c r="C54" s="4" t="s">
        <v>31</v>
      </c>
      <c r="D54" s="4" t="s">
        <v>35</v>
      </c>
      <c r="E54" s="10">
        <v>0.5</v>
      </c>
      <c r="F54" s="11">
        <v>1</v>
      </c>
      <c r="G54" s="8" t="str">
        <f t="shared" si="0"/>
        <v>DEPOT</v>
      </c>
      <c r="H54" s="8" t="str">
        <f t="shared" si="1"/>
        <v>D MART, TOP 3</v>
      </c>
    </row>
    <row r="55" spans="2:8" x14ac:dyDescent="0.2">
      <c r="B55" s="9">
        <v>4</v>
      </c>
      <c r="C55" s="4" t="s">
        <v>35</v>
      </c>
      <c r="D55" s="4" t="s">
        <v>31</v>
      </c>
      <c r="E55" s="10">
        <v>0.5</v>
      </c>
      <c r="F55" s="11">
        <v>1</v>
      </c>
      <c r="G55" s="8" t="str">
        <f t="shared" si="0"/>
        <v>D MART, TOP 3</v>
      </c>
      <c r="H55" s="8" t="str">
        <f t="shared" si="1"/>
        <v>DEPOT</v>
      </c>
    </row>
    <row r="56" spans="2:8" x14ac:dyDescent="0.2">
      <c r="B56" s="9">
        <v>5</v>
      </c>
      <c r="C56" s="4" t="s">
        <v>31</v>
      </c>
      <c r="D56" s="4" t="s">
        <v>37</v>
      </c>
      <c r="E56" s="10">
        <v>0.5</v>
      </c>
      <c r="F56" s="11">
        <v>1</v>
      </c>
      <c r="G56" s="8" t="str">
        <f t="shared" si="0"/>
        <v>DEPOT</v>
      </c>
      <c r="H56" s="8" t="str">
        <f t="shared" si="1"/>
        <v>DMART</v>
      </c>
    </row>
    <row r="57" spans="2:8" x14ac:dyDescent="0.2">
      <c r="B57" s="9">
        <v>6</v>
      </c>
      <c r="C57" s="4" t="s">
        <v>37</v>
      </c>
      <c r="D57" s="4" t="s">
        <v>31</v>
      </c>
      <c r="E57" s="10">
        <v>0.5</v>
      </c>
      <c r="F57" s="11">
        <v>1</v>
      </c>
      <c r="G57" s="8" t="str">
        <f t="shared" si="0"/>
        <v>DMART</v>
      </c>
      <c r="H57" s="8" t="str">
        <f t="shared" si="1"/>
        <v>DEPOT</v>
      </c>
    </row>
    <row r="58" spans="2:8" x14ac:dyDescent="0.2">
      <c r="B58" s="9">
        <v>7</v>
      </c>
      <c r="C58" s="4" t="s">
        <v>31</v>
      </c>
      <c r="D58" s="4" t="s">
        <v>39</v>
      </c>
      <c r="E58" s="10">
        <v>0.5</v>
      </c>
      <c r="F58" s="11">
        <v>1</v>
      </c>
      <c r="G58" s="8" t="str">
        <f t="shared" si="0"/>
        <v>DEPOT</v>
      </c>
      <c r="H58" s="8" t="str">
        <f t="shared" si="1"/>
        <v>DMART</v>
      </c>
    </row>
    <row r="59" spans="2:8" x14ac:dyDescent="0.2">
      <c r="B59" s="9">
        <v>8</v>
      </c>
      <c r="C59" s="4" t="s">
        <v>39</v>
      </c>
      <c r="D59" s="4" t="s">
        <v>31</v>
      </c>
      <c r="E59" s="10">
        <v>0.5</v>
      </c>
      <c r="F59" s="11">
        <v>1</v>
      </c>
      <c r="G59" s="8" t="str">
        <f t="shared" si="0"/>
        <v>DMART</v>
      </c>
      <c r="H59" s="8" t="str">
        <f t="shared" si="1"/>
        <v>DEPOT</v>
      </c>
    </row>
    <row r="60" spans="2:8" x14ac:dyDescent="0.2">
      <c r="B60" s="9">
        <v>9</v>
      </c>
      <c r="C60" s="4" t="s">
        <v>33</v>
      </c>
      <c r="D60" s="4" t="s">
        <v>35</v>
      </c>
      <c r="E60" s="10">
        <v>7.2</v>
      </c>
      <c r="F60" s="11">
        <v>24</v>
      </c>
      <c r="G60" s="8" t="str">
        <f t="shared" si="0"/>
        <v>GANGAJALIA BUS STAND</v>
      </c>
      <c r="H60" s="8" t="str">
        <f t="shared" si="1"/>
        <v>D MART, TOP 3</v>
      </c>
    </row>
    <row r="61" spans="2:8" x14ac:dyDescent="0.2">
      <c r="B61" s="9">
        <v>10</v>
      </c>
      <c r="C61" s="4" t="s">
        <v>35</v>
      </c>
      <c r="D61" s="4" t="s">
        <v>33</v>
      </c>
      <c r="E61" s="10">
        <v>7.2</v>
      </c>
      <c r="F61" s="11">
        <v>24</v>
      </c>
      <c r="G61" s="8" t="str">
        <f t="shared" si="0"/>
        <v>D MART, TOP 3</v>
      </c>
      <c r="H61" s="8" t="str">
        <f t="shared" si="1"/>
        <v>GANGAJALIA BUS STAND</v>
      </c>
    </row>
    <row r="62" spans="2:8" x14ac:dyDescent="0.2">
      <c r="B62" s="9">
        <v>11</v>
      </c>
      <c r="C62" s="4" t="s">
        <v>33</v>
      </c>
      <c r="D62" s="4" t="s">
        <v>37</v>
      </c>
      <c r="E62" s="10">
        <v>7.2</v>
      </c>
      <c r="F62" s="11">
        <v>24</v>
      </c>
      <c r="G62" s="8" t="str">
        <f t="shared" si="0"/>
        <v>GANGAJALIA BUS STAND</v>
      </c>
      <c r="H62" s="8" t="str">
        <f t="shared" si="1"/>
        <v>DMART</v>
      </c>
    </row>
    <row r="63" spans="2:8" x14ac:dyDescent="0.2">
      <c r="B63" s="9">
        <v>12</v>
      </c>
      <c r="C63" s="4" t="s">
        <v>37</v>
      </c>
      <c r="D63" s="4" t="s">
        <v>33</v>
      </c>
      <c r="E63" s="10">
        <v>7.2</v>
      </c>
      <c r="F63" s="11">
        <v>24</v>
      </c>
      <c r="G63" s="8" t="str">
        <f t="shared" si="0"/>
        <v>DMART</v>
      </c>
      <c r="H63" s="8" t="str">
        <f t="shared" si="1"/>
        <v>GANGAJALIA BUS STAND</v>
      </c>
    </row>
    <row r="64" spans="2:8" x14ac:dyDescent="0.2">
      <c r="B64" s="9">
        <v>13</v>
      </c>
      <c r="C64" s="4" t="s">
        <v>33</v>
      </c>
      <c r="D64" s="4" t="s">
        <v>39</v>
      </c>
      <c r="E64" s="10">
        <v>7.2</v>
      </c>
      <c r="F64" s="11">
        <v>24</v>
      </c>
      <c r="G64" s="8" t="str">
        <f t="shared" si="0"/>
        <v>GANGAJALIA BUS STAND</v>
      </c>
      <c r="H64" s="8" t="str">
        <f t="shared" si="1"/>
        <v>DMART</v>
      </c>
    </row>
    <row r="65" spans="2:8" x14ac:dyDescent="0.2">
      <c r="B65" s="9">
        <v>14</v>
      </c>
      <c r="C65" s="4" t="s">
        <v>39</v>
      </c>
      <c r="D65" s="4" t="s">
        <v>33</v>
      </c>
      <c r="E65" s="10">
        <v>7.2</v>
      </c>
      <c r="F65" s="11">
        <v>24</v>
      </c>
      <c r="G65" s="8" t="str">
        <f t="shared" si="0"/>
        <v>DMART</v>
      </c>
      <c r="H65" s="8" t="str">
        <f t="shared" si="1"/>
        <v>GANGAJALIA BUS STAND</v>
      </c>
    </row>
    <row r="66" spans="2:8" x14ac:dyDescent="0.2">
      <c r="B66" s="9">
        <v>15</v>
      </c>
      <c r="C66" s="4" t="s">
        <v>35</v>
      </c>
      <c r="D66" s="4" t="s">
        <v>37</v>
      </c>
      <c r="E66" s="10">
        <v>0</v>
      </c>
      <c r="F66" s="11">
        <v>0</v>
      </c>
      <c r="G66" s="8" t="str">
        <f t="shared" si="0"/>
        <v>D MART, TOP 3</v>
      </c>
      <c r="H66" s="8" t="str">
        <f t="shared" si="1"/>
        <v>DMART</v>
      </c>
    </row>
    <row r="67" spans="2:8" x14ac:dyDescent="0.2">
      <c r="B67" s="9">
        <v>16</v>
      </c>
      <c r="C67" s="4" t="s">
        <v>37</v>
      </c>
      <c r="D67" s="4" t="s">
        <v>35</v>
      </c>
      <c r="E67" s="10">
        <v>0</v>
      </c>
      <c r="F67" s="11">
        <v>0</v>
      </c>
      <c r="G67" s="8" t="str">
        <f t="shared" si="0"/>
        <v>DMART</v>
      </c>
      <c r="H67" s="8" t="str">
        <f t="shared" si="1"/>
        <v>D MART, TOP 3</v>
      </c>
    </row>
    <row r="68" spans="2:8" x14ac:dyDescent="0.2">
      <c r="B68" s="9">
        <v>17</v>
      </c>
      <c r="C68" s="4" t="s">
        <v>35</v>
      </c>
      <c r="D68" s="4" t="s">
        <v>39</v>
      </c>
      <c r="E68" s="10">
        <v>0</v>
      </c>
      <c r="F68" s="11">
        <v>0</v>
      </c>
      <c r="G68" s="8" t="str">
        <f t="shared" si="0"/>
        <v>D MART, TOP 3</v>
      </c>
      <c r="H68" s="8" t="str">
        <f t="shared" si="1"/>
        <v>DMART</v>
      </c>
    </row>
    <row r="69" spans="2:8" x14ac:dyDescent="0.2">
      <c r="B69" s="9">
        <v>18</v>
      </c>
      <c r="C69" s="4" t="s">
        <v>39</v>
      </c>
      <c r="D69" s="4" t="s">
        <v>35</v>
      </c>
      <c r="E69" s="10">
        <v>0</v>
      </c>
      <c r="F69" s="11">
        <v>0</v>
      </c>
      <c r="G69" s="8" t="str">
        <f t="shared" si="0"/>
        <v>DMART</v>
      </c>
      <c r="H69" s="8" t="str">
        <f t="shared" si="1"/>
        <v>D MART, TOP 3</v>
      </c>
    </row>
    <row r="71" spans="2:8" ht="36" x14ac:dyDescent="0.2">
      <c r="B71" s="6" t="s">
        <v>92</v>
      </c>
    </row>
  </sheetData>
  <mergeCells count="8">
    <mergeCell ref="B40:D40"/>
    <mergeCell ref="B45:D45"/>
    <mergeCell ref="B49:H49"/>
    <mergeCell ref="B4:D4"/>
    <mergeCell ref="B8:D8"/>
    <mergeCell ref="B17:D17"/>
    <mergeCell ref="B23:D23"/>
    <mergeCell ref="B35:D3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8090"/>
  </sheetPr>
  <dimension ref="B2:D40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3" width="14" customWidth="1"/>
    <col min="4" max="4" width="18" customWidth="1"/>
  </cols>
  <sheetData>
    <row r="2" spans="2:4" ht="36" x14ac:dyDescent="0.2">
      <c r="B2" s="2" t="s">
        <v>93</v>
      </c>
    </row>
    <row r="3" spans="2:4" x14ac:dyDescent="0.2">
      <c r="B3" s="4" t="s">
        <v>94</v>
      </c>
      <c r="C3" s="8" t="str">
        <f>Route_Config!C5</f>
        <v>R1</v>
      </c>
    </row>
    <row r="4" spans="2:4" ht="48" x14ac:dyDescent="0.2">
      <c r="B4" s="6" t="s">
        <v>95</v>
      </c>
    </row>
    <row r="6" spans="2:4" x14ac:dyDescent="0.2">
      <c r="B6" s="7" t="s">
        <v>96</v>
      </c>
      <c r="C6" s="7" t="s">
        <v>97</v>
      </c>
      <c r="D6" s="7" t="s">
        <v>98</v>
      </c>
    </row>
    <row r="7" spans="2:4" x14ac:dyDescent="0.2">
      <c r="B7" s="12" t="s">
        <v>65</v>
      </c>
      <c r="C7" s="12" t="s">
        <v>99</v>
      </c>
      <c r="D7" s="12">
        <v>40</v>
      </c>
    </row>
    <row r="8" spans="2:4" x14ac:dyDescent="0.2">
      <c r="B8" s="12" t="s">
        <v>99</v>
      </c>
      <c r="C8" s="12" t="s">
        <v>100</v>
      </c>
      <c r="D8" s="12">
        <v>45</v>
      </c>
    </row>
    <row r="9" spans="2:4" x14ac:dyDescent="0.2">
      <c r="B9" s="12" t="s">
        <v>100</v>
      </c>
      <c r="C9" s="12" t="s">
        <v>101</v>
      </c>
      <c r="D9" s="12">
        <v>35</v>
      </c>
    </row>
    <row r="10" spans="2:4" x14ac:dyDescent="0.2">
      <c r="B10" s="12" t="s">
        <v>101</v>
      </c>
      <c r="C10" s="12" t="s">
        <v>102</v>
      </c>
      <c r="D10" s="12">
        <v>35</v>
      </c>
    </row>
    <row r="11" spans="2:4" x14ac:dyDescent="0.2">
      <c r="B11" s="12" t="s">
        <v>102</v>
      </c>
      <c r="C11" s="12" t="s">
        <v>103</v>
      </c>
      <c r="D11" s="12">
        <v>35</v>
      </c>
    </row>
    <row r="12" spans="2:4" x14ac:dyDescent="0.2">
      <c r="B12" s="12" t="s">
        <v>103</v>
      </c>
      <c r="C12" s="12" t="s">
        <v>104</v>
      </c>
      <c r="D12" s="12">
        <v>35</v>
      </c>
    </row>
    <row r="13" spans="2:4" x14ac:dyDescent="0.2">
      <c r="B13" s="12" t="s">
        <v>104</v>
      </c>
      <c r="C13" s="12" t="s">
        <v>105</v>
      </c>
      <c r="D13" s="12">
        <v>40</v>
      </c>
    </row>
    <row r="14" spans="2:4" x14ac:dyDescent="0.2">
      <c r="B14" s="12" t="s">
        <v>105</v>
      </c>
      <c r="C14" s="12" t="s">
        <v>106</v>
      </c>
      <c r="D14" s="12">
        <v>40</v>
      </c>
    </row>
    <row r="15" spans="2:4" x14ac:dyDescent="0.2">
      <c r="B15" s="12" t="s">
        <v>106</v>
      </c>
      <c r="C15" s="12" t="s">
        <v>107</v>
      </c>
      <c r="D15" s="12">
        <v>40</v>
      </c>
    </row>
    <row r="16" spans="2:4" x14ac:dyDescent="0.2">
      <c r="B16" s="12" t="s">
        <v>107</v>
      </c>
      <c r="C16" s="12" t="s">
        <v>108</v>
      </c>
      <c r="D16" s="12">
        <v>40</v>
      </c>
    </row>
    <row r="17" spans="2:4" x14ac:dyDescent="0.2">
      <c r="B17" s="12" t="s">
        <v>108</v>
      </c>
      <c r="C17" s="12" t="s">
        <v>109</v>
      </c>
      <c r="D17" s="12">
        <v>40</v>
      </c>
    </row>
    <row r="18" spans="2:4" x14ac:dyDescent="0.2">
      <c r="B18" s="12" t="s">
        <v>109</v>
      </c>
      <c r="C18" s="12" t="s">
        <v>110</v>
      </c>
      <c r="D18" s="12">
        <v>40</v>
      </c>
    </row>
    <row r="19" spans="2:4" x14ac:dyDescent="0.2">
      <c r="B19" s="12" t="s">
        <v>110</v>
      </c>
      <c r="C19" s="12" t="s">
        <v>111</v>
      </c>
      <c r="D19" s="12">
        <v>40</v>
      </c>
    </row>
    <row r="20" spans="2:4" x14ac:dyDescent="0.2">
      <c r="B20" s="12" t="s">
        <v>111</v>
      </c>
      <c r="C20" s="12" t="s">
        <v>70</v>
      </c>
      <c r="D20" s="12">
        <v>40</v>
      </c>
    </row>
    <row r="21" spans="2:4" x14ac:dyDescent="0.2">
      <c r="B21" s="12" t="s">
        <v>70</v>
      </c>
      <c r="C21" s="12" t="s">
        <v>112</v>
      </c>
      <c r="D21" s="12">
        <v>40</v>
      </c>
    </row>
    <row r="22" spans="2:4" x14ac:dyDescent="0.2">
      <c r="B22" s="12" t="s">
        <v>112</v>
      </c>
      <c r="C22" s="12" t="s">
        <v>113</v>
      </c>
      <c r="D22" s="12">
        <v>40</v>
      </c>
    </row>
    <row r="23" spans="2:4" x14ac:dyDescent="0.2">
      <c r="B23" s="12" t="s">
        <v>113</v>
      </c>
      <c r="C23" s="12" t="s">
        <v>114</v>
      </c>
      <c r="D23" s="12">
        <v>40</v>
      </c>
    </row>
    <row r="24" spans="2:4" x14ac:dyDescent="0.2">
      <c r="B24" s="12" t="s">
        <v>114</v>
      </c>
      <c r="C24" s="12" t="s">
        <v>115</v>
      </c>
      <c r="D24" s="12">
        <v>40</v>
      </c>
    </row>
    <row r="25" spans="2:4" x14ac:dyDescent="0.2">
      <c r="B25" s="12" t="s">
        <v>115</v>
      </c>
      <c r="C25" s="12" t="s">
        <v>116</v>
      </c>
      <c r="D25" s="12">
        <v>35</v>
      </c>
    </row>
    <row r="26" spans="2:4" x14ac:dyDescent="0.2">
      <c r="B26" s="12" t="s">
        <v>116</v>
      </c>
      <c r="C26" s="12" t="s">
        <v>117</v>
      </c>
      <c r="D26" s="12">
        <v>35</v>
      </c>
    </row>
    <row r="27" spans="2:4" x14ac:dyDescent="0.2">
      <c r="B27" s="12" t="s">
        <v>117</v>
      </c>
      <c r="C27" s="12" t="s">
        <v>118</v>
      </c>
      <c r="D27" s="12">
        <v>35</v>
      </c>
    </row>
    <row r="28" spans="2:4" x14ac:dyDescent="0.2">
      <c r="B28" s="12" t="s">
        <v>118</v>
      </c>
      <c r="C28" s="12" t="s">
        <v>119</v>
      </c>
      <c r="D28" s="12">
        <v>35</v>
      </c>
    </row>
    <row r="29" spans="2:4" x14ac:dyDescent="0.2">
      <c r="B29" s="12" t="s">
        <v>119</v>
      </c>
      <c r="C29" s="12" t="s">
        <v>120</v>
      </c>
      <c r="D29" s="12">
        <v>35</v>
      </c>
    </row>
    <row r="30" spans="2:4" x14ac:dyDescent="0.2">
      <c r="B30" s="12" t="s">
        <v>120</v>
      </c>
      <c r="C30" s="12" t="s">
        <v>121</v>
      </c>
      <c r="D30" s="12">
        <v>35</v>
      </c>
    </row>
    <row r="31" spans="2:4" x14ac:dyDescent="0.2">
      <c r="B31" s="12" t="s">
        <v>121</v>
      </c>
      <c r="C31" s="12" t="s">
        <v>122</v>
      </c>
      <c r="D31" s="12">
        <v>40</v>
      </c>
    </row>
    <row r="32" spans="2:4" x14ac:dyDescent="0.2">
      <c r="B32" s="12" t="s">
        <v>122</v>
      </c>
      <c r="C32" s="12" t="s">
        <v>123</v>
      </c>
      <c r="D32" s="12">
        <v>40</v>
      </c>
    </row>
    <row r="33" spans="2:4" x14ac:dyDescent="0.2">
      <c r="B33" s="12" t="s">
        <v>123</v>
      </c>
      <c r="C33" s="12" t="s">
        <v>124</v>
      </c>
      <c r="D33" s="12">
        <v>40</v>
      </c>
    </row>
    <row r="34" spans="2:4" x14ac:dyDescent="0.2">
      <c r="B34" s="12" t="s">
        <v>124</v>
      </c>
      <c r="C34" s="12" t="s">
        <v>125</v>
      </c>
      <c r="D34" s="12">
        <v>40</v>
      </c>
    </row>
    <row r="35" spans="2:4" x14ac:dyDescent="0.2">
      <c r="B35" s="12" t="s">
        <v>125</v>
      </c>
      <c r="C35" s="12" t="s">
        <v>126</v>
      </c>
      <c r="D35" s="12">
        <v>45</v>
      </c>
    </row>
    <row r="36" spans="2:4" x14ac:dyDescent="0.2">
      <c r="B36" s="12" t="s">
        <v>126</v>
      </c>
      <c r="C36" s="12" t="s">
        <v>127</v>
      </c>
      <c r="D36" s="12">
        <v>45</v>
      </c>
    </row>
    <row r="37" spans="2:4" x14ac:dyDescent="0.2">
      <c r="B37" s="12" t="s">
        <v>127</v>
      </c>
      <c r="C37" s="12" t="s">
        <v>128</v>
      </c>
      <c r="D37" s="12">
        <v>45</v>
      </c>
    </row>
    <row r="38" spans="2:4" x14ac:dyDescent="0.2">
      <c r="B38" s="12" t="s">
        <v>128</v>
      </c>
      <c r="C38" s="12" t="s">
        <v>129</v>
      </c>
      <c r="D38" s="12">
        <v>45</v>
      </c>
    </row>
    <row r="39" spans="2:4" x14ac:dyDescent="0.2">
      <c r="B39" s="12" t="s">
        <v>129</v>
      </c>
      <c r="C39" s="12" t="s">
        <v>130</v>
      </c>
      <c r="D39" s="12">
        <v>45</v>
      </c>
    </row>
    <row r="40" spans="2:4" x14ac:dyDescent="0.2">
      <c r="B40" s="12" t="s">
        <v>130</v>
      </c>
      <c r="C40" s="12" t="s">
        <v>68</v>
      </c>
      <c r="D40" s="12">
        <v>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8090"/>
  </sheetPr>
  <dimension ref="B2:E23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3" width="14" customWidth="1"/>
    <col min="4" max="5" width="20" customWidth="1"/>
  </cols>
  <sheetData>
    <row r="2" spans="2:5" ht="54" x14ac:dyDescent="0.2">
      <c r="B2" s="2" t="s">
        <v>131</v>
      </c>
    </row>
    <row r="3" spans="2:5" x14ac:dyDescent="0.2">
      <c r="B3" s="4" t="s">
        <v>94</v>
      </c>
      <c r="C3" s="8" t="str">
        <f>Route_Config!C5</f>
        <v>R1</v>
      </c>
    </row>
    <row r="4" spans="2:5" ht="48" x14ac:dyDescent="0.2">
      <c r="B4" s="6" t="s">
        <v>132</v>
      </c>
    </row>
    <row r="6" spans="2:5" x14ac:dyDescent="0.2">
      <c r="B6" s="7" t="s">
        <v>96</v>
      </c>
      <c r="C6" s="7" t="s">
        <v>97</v>
      </c>
      <c r="D6" s="7" t="s">
        <v>133</v>
      </c>
      <c r="E6" s="7" t="s">
        <v>134</v>
      </c>
    </row>
    <row r="7" spans="2:5" x14ac:dyDescent="0.2">
      <c r="B7" s="12" t="s">
        <v>65</v>
      </c>
      <c r="C7" s="12" t="s">
        <v>100</v>
      </c>
      <c r="D7" s="12">
        <v>28</v>
      </c>
      <c r="E7" s="12">
        <v>26</v>
      </c>
    </row>
    <row r="8" spans="2:5" x14ac:dyDescent="0.2">
      <c r="B8" s="12" t="s">
        <v>100</v>
      </c>
      <c r="C8" s="12" t="s">
        <v>102</v>
      </c>
      <c r="D8" s="12">
        <v>28</v>
      </c>
      <c r="E8" s="12">
        <v>26</v>
      </c>
    </row>
    <row r="9" spans="2:5" x14ac:dyDescent="0.2">
      <c r="B9" s="12" t="s">
        <v>102</v>
      </c>
      <c r="C9" s="12" t="s">
        <v>104</v>
      </c>
      <c r="D9" s="12">
        <v>29</v>
      </c>
      <c r="E9" s="12">
        <v>27</v>
      </c>
    </row>
    <row r="10" spans="2:5" x14ac:dyDescent="0.2">
      <c r="B10" s="12" t="s">
        <v>104</v>
      </c>
      <c r="C10" s="12" t="s">
        <v>106</v>
      </c>
      <c r="D10" s="12">
        <v>28</v>
      </c>
      <c r="E10" s="12">
        <v>26</v>
      </c>
    </row>
    <row r="11" spans="2:5" x14ac:dyDescent="0.2">
      <c r="B11" s="12" t="s">
        <v>106</v>
      </c>
      <c r="C11" s="12" t="s">
        <v>108</v>
      </c>
      <c r="D11" s="12">
        <v>28</v>
      </c>
      <c r="E11" s="12">
        <v>26</v>
      </c>
    </row>
    <row r="12" spans="2:5" x14ac:dyDescent="0.2">
      <c r="B12" s="12" t="s">
        <v>108</v>
      </c>
      <c r="C12" s="12" t="s">
        <v>110</v>
      </c>
      <c r="D12" s="12">
        <v>28</v>
      </c>
      <c r="E12" s="12">
        <v>26</v>
      </c>
    </row>
    <row r="13" spans="2:5" x14ac:dyDescent="0.2">
      <c r="B13" s="12" t="s">
        <v>110</v>
      </c>
      <c r="C13" s="12" t="s">
        <v>70</v>
      </c>
      <c r="D13" s="12">
        <v>28</v>
      </c>
      <c r="E13" s="12">
        <v>26</v>
      </c>
    </row>
    <row r="14" spans="2:5" x14ac:dyDescent="0.2">
      <c r="B14" s="12" t="s">
        <v>70</v>
      </c>
      <c r="C14" s="12" t="s">
        <v>113</v>
      </c>
      <c r="D14" s="12">
        <v>28</v>
      </c>
      <c r="E14" s="12">
        <v>26</v>
      </c>
    </row>
    <row r="15" spans="2:5" x14ac:dyDescent="0.2">
      <c r="B15" s="12" t="s">
        <v>113</v>
      </c>
      <c r="C15" s="12" t="s">
        <v>115</v>
      </c>
      <c r="D15" s="12">
        <v>28</v>
      </c>
      <c r="E15" s="12">
        <v>26</v>
      </c>
    </row>
    <row r="16" spans="2:5" x14ac:dyDescent="0.2">
      <c r="B16" s="12" t="s">
        <v>115</v>
      </c>
      <c r="C16" s="12" t="s">
        <v>117</v>
      </c>
      <c r="D16" s="12">
        <v>28</v>
      </c>
      <c r="E16" s="12">
        <v>26</v>
      </c>
    </row>
    <row r="17" spans="2:5" x14ac:dyDescent="0.2">
      <c r="B17" s="12" t="s">
        <v>117</v>
      </c>
      <c r="C17" s="12" t="s">
        <v>119</v>
      </c>
      <c r="D17" s="12">
        <v>29</v>
      </c>
      <c r="E17" s="12">
        <v>27</v>
      </c>
    </row>
    <row r="18" spans="2:5" x14ac:dyDescent="0.2">
      <c r="B18" s="12" t="s">
        <v>119</v>
      </c>
      <c r="C18" s="12" t="s">
        <v>121</v>
      </c>
      <c r="D18" s="12">
        <v>30</v>
      </c>
      <c r="E18" s="12">
        <v>28</v>
      </c>
    </row>
    <row r="19" spans="2:5" x14ac:dyDescent="0.2">
      <c r="B19" s="12" t="s">
        <v>121</v>
      </c>
      <c r="C19" s="12" t="s">
        <v>123</v>
      </c>
      <c r="D19" s="12">
        <v>29</v>
      </c>
      <c r="E19" s="12">
        <v>27</v>
      </c>
    </row>
    <row r="20" spans="2:5" x14ac:dyDescent="0.2">
      <c r="B20" s="12" t="s">
        <v>123</v>
      </c>
      <c r="C20" s="12" t="s">
        <v>125</v>
      </c>
      <c r="D20" s="12">
        <v>28</v>
      </c>
      <c r="E20" s="12">
        <v>26</v>
      </c>
    </row>
    <row r="21" spans="2:5" x14ac:dyDescent="0.2">
      <c r="B21" s="12" t="s">
        <v>125</v>
      </c>
      <c r="C21" s="12" t="s">
        <v>127</v>
      </c>
      <c r="D21" s="12">
        <v>27</v>
      </c>
      <c r="E21" s="12">
        <v>25</v>
      </c>
    </row>
    <row r="22" spans="2:5" x14ac:dyDescent="0.2">
      <c r="B22" s="12" t="s">
        <v>127</v>
      </c>
      <c r="C22" s="12" t="s">
        <v>129</v>
      </c>
      <c r="D22" s="12">
        <v>27</v>
      </c>
      <c r="E22" s="12">
        <v>25</v>
      </c>
    </row>
    <row r="23" spans="2:5" x14ac:dyDescent="0.2">
      <c r="B23" s="12" t="s">
        <v>129</v>
      </c>
      <c r="C23" s="12" t="s">
        <v>68</v>
      </c>
      <c r="D23" s="12">
        <v>27</v>
      </c>
      <c r="E23" s="12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Route_Config</vt:lpstr>
      <vt:lpstr>Headway_Profile</vt:lpstr>
      <vt:lpstr>TravelTime_Profile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 Gupta</cp:lastModifiedBy>
  <cp:revision>0</cp:revision>
  <dcterms:created xsi:type="dcterms:W3CDTF">2026-03-08T10:59:11Z</dcterms:created>
  <dcterms:modified xsi:type="dcterms:W3CDTF">2026-03-09T11:42:53Z</dcterms:modified>
  <dc:language>en-US</dc:language>
</cp:coreProperties>
</file>